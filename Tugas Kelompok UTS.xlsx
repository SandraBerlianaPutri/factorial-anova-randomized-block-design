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SUS\Documents\Semester 4\Metode Perancangan Percobaan\Tugas\Kelompok 12\"/>
    </mc:Choice>
  </mc:AlternateContent>
  <xr:revisionPtr revIDLastSave="0" documentId="13_ncr:1_{87272C1F-06B1-446C-B945-AA928C67FD2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Hasil" sheetId="3" r:id="rId3"/>
  </sheets>
  <calcPr calcId="191029"/>
</workbook>
</file>

<file path=xl/calcChain.xml><?xml version="1.0" encoding="utf-8"?>
<calcChain xmlns="http://schemas.openxmlformats.org/spreadsheetml/2006/main">
  <c r="E29" i="3" l="1"/>
  <c r="E28" i="3"/>
  <c r="E27" i="3"/>
  <c r="E26" i="3"/>
  <c r="D30" i="3"/>
  <c r="D29" i="3"/>
  <c r="D28" i="3"/>
  <c r="D27" i="3"/>
  <c r="D26" i="3"/>
  <c r="C31" i="3"/>
  <c r="C30" i="3"/>
  <c r="C29" i="3"/>
  <c r="C28" i="3"/>
  <c r="C27" i="3"/>
  <c r="C26" i="3"/>
  <c r="E21" i="3"/>
  <c r="B14" i="3"/>
  <c r="B15" i="3"/>
  <c r="B16" i="3"/>
  <c r="B17" i="3"/>
  <c r="B18" i="3"/>
  <c r="K18" i="3"/>
  <c r="K19" i="3"/>
  <c r="K20" i="3"/>
  <c r="K17" i="3"/>
  <c r="B19" i="3"/>
  <c r="E19" i="3" s="1"/>
  <c r="E11" i="3"/>
  <c r="E12" i="3"/>
  <c r="D12" i="3"/>
  <c r="C12" i="3"/>
  <c r="D11" i="3"/>
  <c r="C11" i="3"/>
  <c r="E10" i="3"/>
  <c r="E6" i="3"/>
  <c r="D10" i="3"/>
  <c r="C10" i="3"/>
  <c r="E8" i="3"/>
  <c r="E7" i="3"/>
  <c r="D9" i="3"/>
  <c r="C9" i="3"/>
  <c r="D6" i="3"/>
  <c r="C6" i="3"/>
  <c r="E4" i="3"/>
  <c r="E3" i="3"/>
  <c r="D5" i="3"/>
  <c r="C5" i="3"/>
  <c r="B21" i="3" l="1"/>
  <c r="E17" i="3"/>
  <c r="E18" i="3"/>
  <c r="H18" i="3" s="1"/>
  <c r="B20" i="3"/>
  <c r="E20" i="3" s="1"/>
  <c r="H20" i="3" s="1"/>
  <c r="H19" i="3"/>
  <c r="H17" i="3" l="1"/>
</calcChain>
</file>

<file path=xl/sharedStrings.xml><?xml version="1.0" encoding="utf-8"?>
<sst xmlns="http://schemas.openxmlformats.org/spreadsheetml/2006/main" count="81" uniqueCount="58">
  <si>
    <t>Varietas</t>
  </si>
  <si>
    <t>N1</t>
  </si>
  <si>
    <t>N2</t>
  </si>
  <si>
    <t>V1</t>
  </si>
  <si>
    <t>V2</t>
  </si>
  <si>
    <t>Pupuk</t>
  </si>
  <si>
    <t>Tinggi</t>
  </si>
  <si>
    <t>Kelompok</t>
  </si>
  <si>
    <t>Sitrat</t>
  </si>
  <si>
    <t>Gula</t>
  </si>
  <si>
    <t>pH</t>
  </si>
  <si>
    <t>Konsentrasi Asam Sitrat</t>
  </si>
  <si>
    <t>Blok</t>
  </si>
  <si>
    <t>Konsentrasi Gula</t>
  </si>
  <si>
    <t>50 gram</t>
  </si>
  <si>
    <t>70 gram</t>
  </si>
  <si>
    <t>0.5 gram</t>
  </si>
  <si>
    <t>1.0 gram</t>
  </si>
  <si>
    <t>Total</t>
  </si>
  <si>
    <t>rata-rata</t>
  </si>
  <si>
    <t>total (Yij.)</t>
  </si>
  <si>
    <t>total (Y.j.)</t>
  </si>
  <si>
    <t>FK</t>
  </si>
  <si>
    <t>JKT</t>
  </si>
  <si>
    <t>JKP</t>
  </si>
  <si>
    <t>JKA</t>
  </si>
  <si>
    <t>JKB</t>
  </si>
  <si>
    <t>JKK</t>
  </si>
  <si>
    <t>JK(AB)</t>
  </si>
  <si>
    <t>JKG</t>
  </si>
  <si>
    <t>KTA</t>
  </si>
  <si>
    <t>KTB</t>
  </si>
  <si>
    <t>KT(AB)</t>
  </si>
  <si>
    <t>KTK</t>
  </si>
  <si>
    <t>KTG</t>
  </si>
  <si>
    <t>Fhit B</t>
  </si>
  <si>
    <t>Fhit AB</t>
  </si>
  <si>
    <t>Fhit K</t>
  </si>
  <si>
    <t>F(0.05,1,3)</t>
  </si>
  <si>
    <t>Fhit A</t>
  </si>
  <si>
    <t>&gt;</t>
  </si>
  <si>
    <t>&lt;</t>
  </si>
  <si>
    <t>Tolak H0</t>
  </si>
  <si>
    <t>Tak Tolak H0</t>
  </si>
  <si>
    <t>Tak Tolak H1</t>
  </si>
  <si>
    <t>Tak Tolak H2</t>
  </si>
  <si>
    <t>Sumber Keragaman</t>
  </si>
  <si>
    <t>A</t>
  </si>
  <si>
    <t>B</t>
  </si>
  <si>
    <t>AB</t>
  </si>
  <si>
    <t>Galat</t>
  </si>
  <si>
    <t>Derajat Bebas</t>
  </si>
  <si>
    <t>Jumlah Kuadrat</t>
  </si>
  <si>
    <t>Kuadrat Tengah</t>
  </si>
  <si>
    <t>(Db)</t>
  </si>
  <si>
    <t>(JK)</t>
  </si>
  <si>
    <t>(KT)</t>
  </si>
  <si>
    <t>F-hitung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</si>
</sst>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workbookViewId="0">
      <selection activeCell="B9" sqref="B9"/>
    </sheetView>
  </sheetViews>
  <sheetFormatPr defaultColWidth="12.6328125" defaultRowHeight="15.75" customHeight="1" x14ac:dyDescent="0.25"/>
  <sheetData>
    <row r="1" spans="1:4" ht="12.5" x14ac:dyDescent="0.25">
      <c r="A1" s="2" t="s">
        <v>0</v>
      </c>
      <c r="B1" s="2" t="s">
        <v>7</v>
      </c>
      <c r="C1" s="2" t="s">
        <v>5</v>
      </c>
      <c r="D1" s="2" t="s">
        <v>6</v>
      </c>
    </row>
    <row r="2" spans="1:4" ht="12.5" x14ac:dyDescent="0.25">
      <c r="A2" s="2" t="s">
        <v>3</v>
      </c>
      <c r="B2" s="2">
        <v>1</v>
      </c>
      <c r="C2" s="1" t="s">
        <v>1</v>
      </c>
      <c r="D2" s="2">
        <v>3.03</v>
      </c>
    </row>
    <row r="3" spans="1:4" ht="12.5" x14ac:dyDescent="0.25">
      <c r="A3" s="2" t="s">
        <v>3</v>
      </c>
      <c r="B3" s="2">
        <v>2</v>
      </c>
      <c r="C3" s="1" t="s">
        <v>1</v>
      </c>
      <c r="D3" s="2">
        <v>2.93</v>
      </c>
    </row>
    <row r="4" spans="1:4" ht="12.5" x14ac:dyDescent="0.25">
      <c r="A4" s="2" t="s">
        <v>4</v>
      </c>
      <c r="B4" s="2">
        <v>1</v>
      </c>
      <c r="C4" s="1" t="s">
        <v>1</v>
      </c>
      <c r="D4" s="2">
        <v>2.67</v>
      </c>
    </row>
    <row r="5" spans="1:4" ht="12.5" x14ac:dyDescent="0.25">
      <c r="A5" s="2" t="s">
        <v>4</v>
      </c>
      <c r="B5" s="2">
        <v>2</v>
      </c>
      <c r="C5" s="1" t="s">
        <v>1</v>
      </c>
      <c r="D5" s="2">
        <v>2.5299999999999998</v>
      </c>
    </row>
    <row r="6" spans="1:4" ht="15.75" customHeight="1" x14ac:dyDescent="0.25">
      <c r="A6" s="2" t="s">
        <v>3</v>
      </c>
      <c r="B6" s="2">
        <v>1</v>
      </c>
      <c r="C6" s="2" t="s">
        <v>2</v>
      </c>
      <c r="D6" s="2">
        <v>3.06</v>
      </c>
    </row>
    <row r="7" spans="1:4" ht="15.75" customHeight="1" x14ac:dyDescent="0.25">
      <c r="A7" s="2" t="s">
        <v>3</v>
      </c>
      <c r="B7" s="2">
        <v>2</v>
      </c>
      <c r="C7" s="2" t="s">
        <v>2</v>
      </c>
      <c r="D7" s="2">
        <v>2.93</v>
      </c>
    </row>
    <row r="8" spans="1:4" ht="15.75" customHeight="1" x14ac:dyDescent="0.25">
      <c r="A8" s="2" t="s">
        <v>4</v>
      </c>
      <c r="B8" s="2">
        <v>1</v>
      </c>
      <c r="C8" s="2" t="s">
        <v>2</v>
      </c>
      <c r="D8" s="2">
        <v>2.67</v>
      </c>
    </row>
    <row r="9" spans="1:4" ht="15.75" customHeight="1" x14ac:dyDescent="0.25">
      <c r="A9" s="2" t="s">
        <v>4</v>
      </c>
      <c r="B9" s="2">
        <v>2</v>
      </c>
      <c r="C9" s="2" t="s">
        <v>2</v>
      </c>
      <c r="D9" s="2">
        <v>2.67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F37A-1DAA-4864-9548-7CA7BE8FA8C5}">
  <dimension ref="A1:D9"/>
  <sheetViews>
    <sheetView workbookViewId="0">
      <selection sqref="A1:D9"/>
    </sheetView>
  </sheetViews>
  <sheetFormatPr defaultRowHeight="12.5" x14ac:dyDescent="0.25"/>
  <sheetData>
    <row r="1" spans="1:4" x14ac:dyDescent="0.25">
      <c r="A1" s="2" t="s">
        <v>8</v>
      </c>
      <c r="B1" s="2" t="s">
        <v>7</v>
      </c>
      <c r="C1" s="2" t="s">
        <v>9</v>
      </c>
      <c r="D1" s="2" t="s">
        <v>10</v>
      </c>
    </row>
    <row r="2" spans="1:4" x14ac:dyDescent="0.25">
      <c r="A2" s="2">
        <v>0.5</v>
      </c>
      <c r="B2" s="2">
        <v>1</v>
      </c>
      <c r="C2" s="1">
        <v>50</v>
      </c>
      <c r="D2" s="2">
        <v>3.03</v>
      </c>
    </row>
    <row r="3" spans="1:4" x14ac:dyDescent="0.25">
      <c r="A3" s="2">
        <v>0.5</v>
      </c>
      <c r="B3" s="2">
        <v>2</v>
      </c>
      <c r="C3" s="1">
        <v>50</v>
      </c>
      <c r="D3" s="2">
        <v>2.93</v>
      </c>
    </row>
    <row r="4" spans="1:4" x14ac:dyDescent="0.25">
      <c r="A4" s="2">
        <v>1</v>
      </c>
      <c r="B4" s="2">
        <v>1</v>
      </c>
      <c r="C4" s="1">
        <v>50</v>
      </c>
      <c r="D4" s="2">
        <v>2.67</v>
      </c>
    </row>
    <row r="5" spans="1:4" x14ac:dyDescent="0.25">
      <c r="A5" s="2">
        <v>1</v>
      </c>
      <c r="B5" s="2">
        <v>2</v>
      </c>
      <c r="C5" s="1">
        <v>50</v>
      </c>
      <c r="D5" s="2">
        <v>2.5299999999999998</v>
      </c>
    </row>
    <row r="6" spans="1:4" x14ac:dyDescent="0.25">
      <c r="A6" s="2">
        <v>0.5</v>
      </c>
      <c r="B6" s="2">
        <v>1</v>
      </c>
      <c r="C6" s="2">
        <v>70</v>
      </c>
      <c r="D6" s="2">
        <v>3.06</v>
      </c>
    </row>
    <row r="7" spans="1:4" x14ac:dyDescent="0.25">
      <c r="A7" s="2">
        <v>0.5</v>
      </c>
      <c r="B7" s="2">
        <v>2</v>
      </c>
      <c r="C7" s="2">
        <v>70</v>
      </c>
      <c r="D7" s="2">
        <v>2.93</v>
      </c>
    </row>
    <row r="8" spans="1:4" x14ac:dyDescent="0.25">
      <c r="A8" s="2">
        <v>1</v>
      </c>
      <c r="B8" s="2">
        <v>1</v>
      </c>
      <c r="C8" s="2">
        <v>70</v>
      </c>
      <c r="D8" s="2">
        <v>2.67</v>
      </c>
    </row>
    <row r="9" spans="1:4" x14ac:dyDescent="0.25">
      <c r="A9" s="2">
        <v>1</v>
      </c>
      <c r="B9" s="2">
        <v>2</v>
      </c>
      <c r="C9" s="2">
        <v>70</v>
      </c>
      <c r="D9" s="2">
        <v>2.67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1B88-0B6F-48A1-9316-42FAA7362F3A}">
  <dimension ref="A1:L31"/>
  <sheetViews>
    <sheetView tabSelected="1" topLeftCell="A25" workbookViewId="0">
      <selection activeCell="E6" sqref="E6"/>
    </sheetView>
  </sheetViews>
  <sheetFormatPr defaultRowHeight="12.5" x14ac:dyDescent="0.25"/>
  <cols>
    <col min="1" max="1" width="12.08984375" bestFit="1" customWidth="1"/>
    <col min="2" max="2" width="11.08984375" customWidth="1"/>
    <col min="3" max="4" width="8.453125" bestFit="1" customWidth="1"/>
    <col min="10" max="10" width="9.81640625" bestFit="1" customWidth="1"/>
  </cols>
  <sheetData>
    <row r="1" spans="1:7" customFormat="1" ht="44.5" customHeight="1" x14ac:dyDescent="0.25">
      <c r="A1" s="3" t="s">
        <v>11</v>
      </c>
      <c r="B1" s="3" t="s">
        <v>12</v>
      </c>
      <c r="C1" s="3" t="s">
        <v>13</v>
      </c>
      <c r="D1" s="3"/>
      <c r="E1" s="12" t="s">
        <v>18</v>
      </c>
    </row>
    <row r="2" spans="1:7" customFormat="1" ht="15" x14ac:dyDescent="0.25">
      <c r="A2" s="3"/>
      <c r="B2" s="3"/>
      <c r="C2" s="4" t="s">
        <v>14</v>
      </c>
      <c r="D2" s="4" t="s">
        <v>15</v>
      </c>
      <c r="E2" s="12"/>
    </row>
    <row r="3" spans="1:7" customFormat="1" ht="15.5" x14ac:dyDescent="0.25">
      <c r="A3" s="7" t="s">
        <v>16</v>
      </c>
      <c r="B3" s="4">
        <v>1</v>
      </c>
      <c r="C3" s="5">
        <v>3.03</v>
      </c>
      <c r="D3" s="5">
        <v>3.06</v>
      </c>
      <c r="E3" s="13">
        <f>SUM(C3:D3)</f>
        <v>6.09</v>
      </c>
    </row>
    <row r="4" spans="1:7" customFormat="1" ht="15.5" x14ac:dyDescent="0.25">
      <c r="A4" s="9"/>
      <c r="B4" s="4">
        <v>2</v>
      </c>
      <c r="C4" s="5">
        <v>2.93</v>
      </c>
      <c r="D4" s="5">
        <v>2.93</v>
      </c>
      <c r="E4" s="13">
        <f>SUM(C4:D4)</f>
        <v>5.86</v>
      </c>
    </row>
    <row r="5" spans="1:7" customFormat="1" ht="15.5" x14ac:dyDescent="0.25">
      <c r="A5" s="9"/>
      <c r="B5" s="4" t="s">
        <v>19</v>
      </c>
      <c r="C5" s="5">
        <f>AVERAGE(C3:C4)</f>
        <v>2.98</v>
      </c>
      <c r="D5" s="5">
        <f>AVERAGE(D3:D4)</f>
        <v>2.9950000000000001</v>
      </c>
      <c r="E5" s="13"/>
    </row>
    <row r="6" spans="1:7" customFormat="1" ht="15.5" x14ac:dyDescent="0.25">
      <c r="A6" s="8"/>
      <c r="B6" s="4" t="s">
        <v>20</v>
      </c>
      <c r="C6" s="5">
        <f>SUM(C3:C4)</f>
        <v>5.96</v>
      </c>
      <c r="D6" s="5">
        <f>SUM(D3:D4)</f>
        <v>5.99</v>
      </c>
      <c r="E6" s="13">
        <f>SUM(E3:E4)</f>
        <v>11.95</v>
      </c>
      <c r="G6" s="6"/>
    </row>
    <row r="7" spans="1:7" customFormat="1" ht="15.5" x14ac:dyDescent="0.25">
      <c r="A7" s="7" t="s">
        <v>17</v>
      </c>
      <c r="B7" s="4">
        <v>1</v>
      </c>
      <c r="C7" s="5">
        <v>2.67</v>
      </c>
      <c r="D7" s="5">
        <v>2.67</v>
      </c>
      <c r="E7" s="13">
        <f>SUM(C7:D7)</f>
        <v>5.34</v>
      </c>
    </row>
    <row r="8" spans="1:7" customFormat="1" ht="15.5" x14ac:dyDescent="0.25">
      <c r="A8" s="9"/>
      <c r="B8" s="4">
        <v>2</v>
      </c>
      <c r="C8" s="5">
        <v>2.5299999999999998</v>
      </c>
      <c r="D8" s="5">
        <v>2.67</v>
      </c>
      <c r="E8" s="13">
        <f>SUM(C8:D8)</f>
        <v>5.1999999999999993</v>
      </c>
    </row>
    <row r="9" spans="1:7" customFormat="1" ht="15.5" x14ac:dyDescent="0.25">
      <c r="A9" s="9"/>
      <c r="B9" s="4" t="s">
        <v>19</v>
      </c>
      <c r="C9" s="5">
        <f>AVERAGE(C7:C8)</f>
        <v>2.5999999999999996</v>
      </c>
      <c r="D9" s="5">
        <f>AVERAGE(D7:D8)</f>
        <v>2.67</v>
      </c>
      <c r="E9" s="13"/>
    </row>
    <row r="10" spans="1:7" customFormat="1" ht="15.5" x14ac:dyDescent="0.25">
      <c r="A10" s="8"/>
      <c r="B10" s="4" t="s">
        <v>20</v>
      </c>
      <c r="C10" s="5">
        <f>SUM(C7:C8)</f>
        <v>5.1999999999999993</v>
      </c>
      <c r="D10" s="5">
        <f>SUM(D7:D8)</f>
        <v>5.34</v>
      </c>
      <c r="E10" s="13">
        <f>SUM(E7:E8)</f>
        <v>10.54</v>
      </c>
    </row>
    <row r="11" spans="1:7" customFormat="1" ht="13" x14ac:dyDescent="0.25">
      <c r="A11" s="12" t="s">
        <v>19</v>
      </c>
      <c r="B11" s="12"/>
      <c r="C11" s="13">
        <f>AVERAGE(C3:C4,C7:C8)</f>
        <v>2.7899999999999996</v>
      </c>
      <c r="D11" s="13">
        <f>AVERAGE(D3:D4,D7:D8)</f>
        <v>2.8325</v>
      </c>
      <c r="E11" s="13">
        <f>AVERAGE(C3:D4,C7:D8)</f>
        <v>2.8112500000000002</v>
      </c>
    </row>
    <row r="12" spans="1:7" customFormat="1" ht="13" x14ac:dyDescent="0.25">
      <c r="A12" s="12" t="s">
        <v>21</v>
      </c>
      <c r="B12" s="12"/>
      <c r="C12" s="13">
        <f>SUM(C3:C4,C7:C8)</f>
        <v>11.159999999999998</v>
      </c>
      <c r="D12" s="13">
        <f>SUM(D3:D4,D7:D8)</f>
        <v>11.33</v>
      </c>
      <c r="E12" s="13">
        <f>SUM(C12:D12)</f>
        <v>22.49</v>
      </c>
    </row>
    <row r="13" spans="1:7" customFormat="1" x14ac:dyDescent="0.25"/>
    <row r="14" spans="1:7" customFormat="1" x14ac:dyDescent="0.25">
      <c r="A14" t="s">
        <v>22</v>
      </c>
      <c r="B14">
        <f>(E12^2)/(2*2*2)</f>
        <v>63.225012499999991</v>
      </c>
    </row>
    <row r="15" spans="1:7" customFormat="1" x14ac:dyDescent="0.25">
      <c r="A15" t="s">
        <v>23</v>
      </c>
      <c r="B15">
        <f>SUMSQ(C3:D4,C7:D8)-B14</f>
        <v>0.27688750000001505</v>
      </c>
    </row>
    <row r="16" spans="1:7" customFormat="1" x14ac:dyDescent="0.25">
      <c r="A16" t="s">
        <v>24</v>
      </c>
      <c r="B16">
        <f>(SUMSQ(C6:D6,C10:D10)/2)-B14</f>
        <v>0.25363750000001062</v>
      </c>
    </row>
    <row r="17" spans="1:12" customFormat="1" x14ac:dyDescent="0.25">
      <c r="A17" t="s">
        <v>25</v>
      </c>
      <c r="B17">
        <f>(SUMSQ(E6,E10)/(2*2))-B14</f>
        <v>0.24851250000000391</v>
      </c>
      <c r="D17" t="s">
        <v>30</v>
      </c>
      <c r="E17">
        <f>B17/(2-1)</f>
        <v>0.24851250000000391</v>
      </c>
      <c r="G17" t="s">
        <v>39</v>
      </c>
      <c r="H17">
        <f>E17/E21</f>
        <v>121.47250509162708</v>
      </c>
      <c r="I17" t="s">
        <v>40</v>
      </c>
      <c r="J17" t="s">
        <v>38</v>
      </c>
      <c r="K17">
        <f>FINV(0.05,1,(3*1))</f>
        <v>10.127964486013932</v>
      </c>
      <c r="L17" t="s">
        <v>42</v>
      </c>
    </row>
    <row r="18" spans="1:12" customFormat="1" x14ac:dyDescent="0.25">
      <c r="A18" t="s">
        <v>26</v>
      </c>
      <c r="B18">
        <f>(SUMSQ(C12:D12)/(2*2))-B14</f>
        <v>3.612500000002683E-3</v>
      </c>
      <c r="D18" t="s">
        <v>31</v>
      </c>
      <c r="E18">
        <f>B18/(2-1)</f>
        <v>3.612500000002683E-3</v>
      </c>
      <c r="G18" t="s">
        <v>35</v>
      </c>
      <c r="H18">
        <f>E18/E21</f>
        <v>1.7657841140539081</v>
      </c>
      <c r="I18" t="s">
        <v>41</v>
      </c>
      <c r="J18" t="s">
        <v>38</v>
      </c>
      <c r="K18">
        <f t="shared" ref="K18:K20" si="0">FINV(0.05,1,(3*1))</f>
        <v>10.127964486013932</v>
      </c>
      <c r="L18" t="s">
        <v>43</v>
      </c>
    </row>
    <row r="19" spans="1:12" customFormat="1" x14ac:dyDescent="0.25">
      <c r="A19" t="s">
        <v>27</v>
      </c>
      <c r="B19">
        <f>(SUMSQ(SUM(E3,E7),SUM(E4,E8))/(2*2))-B14</f>
        <v>1.7112500000003195E-2</v>
      </c>
      <c r="D19" t="s">
        <v>33</v>
      </c>
      <c r="E19">
        <f>B19/(2-1)</f>
        <v>1.7112500000003195E-2</v>
      </c>
      <c r="G19" t="s">
        <v>37</v>
      </c>
      <c r="H19">
        <f>E19/E21</f>
        <v>8.3645621181261465</v>
      </c>
      <c r="I19" t="s">
        <v>41</v>
      </c>
      <c r="J19" t="s">
        <v>38</v>
      </c>
      <c r="K19">
        <f t="shared" si="0"/>
        <v>10.127964486013932</v>
      </c>
      <c r="L19" t="s">
        <v>44</v>
      </c>
    </row>
    <row r="20" spans="1:12" customFormat="1" x14ac:dyDescent="0.25">
      <c r="A20" t="s">
        <v>28</v>
      </c>
      <c r="B20">
        <f>B16-B17-B18</f>
        <v>1.5125000000040245E-3</v>
      </c>
      <c r="D20" t="s">
        <v>32</v>
      </c>
      <c r="E20">
        <f>B20/((2-1)*(2-1))</f>
        <v>1.5125000000040245E-3</v>
      </c>
      <c r="G20" t="s">
        <v>36</v>
      </c>
      <c r="H20">
        <f>E20/E21</f>
        <v>0.73930753564336582</v>
      </c>
      <c r="I20" t="s">
        <v>41</v>
      </c>
      <c r="J20" t="s">
        <v>38</v>
      </c>
      <c r="K20">
        <f t="shared" si="0"/>
        <v>10.127964486013932</v>
      </c>
      <c r="L20" t="s">
        <v>45</v>
      </c>
    </row>
    <row r="21" spans="1:12" customFormat="1" x14ac:dyDescent="0.25">
      <c r="A21" t="s">
        <v>29</v>
      </c>
      <c r="B21">
        <f>B15-B16-B19</f>
        <v>6.1375000000012392E-3</v>
      </c>
      <c r="D21" t="s">
        <v>34</v>
      </c>
      <c r="E21">
        <f>B21/((4-1)*(2-1))</f>
        <v>2.0458333333337464E-3</v>
      </c>
    </row>
    <row r="24" spans="1:12" ht="25" x14ac:dyDescent="0.25">
      <c r="A24" s="10" t="s">
        <v>46</v>
      </c>
      <c r="B24" s="11" t="s">
        <v>51</v>
      </c>
      <c r="C24" s="11" t="s">
        <v>52</v>
      </c>
      <c r="D24" s="11" t="s">
        <v>53</v>
      </c>
      <c r="E24" s="10" t="s">
        <v>57</v>
      </c>
    </row>
    <row r="25" spans="1:12" x14ac:dyDescent="0.25">
      <c r="A25" s="10"/>
      <c r="B25" s="11" t="s">
        <v>54</v>
      </c>
      <c r="C25" s="11" t="s">
        <v>55</v>
      </c>
      <c r="D25" s="11" t="s">
        <v>56</v>
      </c>
      <c r="E25" s="10"/>
    </row>
    <row r="26" spans="1:12" x14ac:dyDescent="0.25">
      <c r="A26" s="11" t="s">
        <v>47</v>
      </c>
      <c r="B26" s="11">
        <v>1</v>
      </c>
      <c r="C26" s="11">
        <f>B17</f>
        <v>0.24851250000000391</v>
      </c>
      <c r="D26" s="11">
        <f>E17</f>
        <v>0.24851250000000391</v>
      </c>
      <c r="E26" s="11">
        <f>H17</f>
        <v>121.47250509162708</v>
      </c>
    </row>
    <row r="27" spans="1:12" x14ac:dyDescent="0.25">
      <c r="A27" s="11" t="s">
        <v>48</v>
      </c>
      <c r="B27" s="11">
        <v>1</v>
      </c>
      <c r="C27" s="11">
        <f>B18</f>
        <v>3.612500000002683E-3</v>
      </c>
      <c r="D27" s="11">
        <f>E18</f>
        <v>3.612500000002683E-3</v>
      </c>
      <c r="E27" s="11">
        <f>H18</f>
        <v>1.7657841140539081</v>
      </c>
    </row>
    <row r="28" spans="1:12" x14ac:dyDescent="0.25">
      <c r="A28" s="11" t="s">
        <v>49</v>
      </c>
      <c r="B28" s="11">
        <v>1</v>
      </c>
      <c r="C28" s="11">
        <f>B20</f>
        <v>1.5125000000040245E-3</v>
      </c>
      <c r="D28" s="11">
        <f>E20</f>
        <v>1.5125000000040245E-3</v>
      </c>
      <c r="E28" s="11">
        <f>H20</f>
        <v>0.73930753564336582</v>
      </c>
    </row>
    <row r="29" spans="1:12" x14ac:dyDescent="0.25">
      <c r="A29" s="11" t="s">
        <v>12</v>
      </c>
      <c r="B29" s="11">
        <v>1</v>
      </c>
      <c r="C29" s="11">
        <f>B19</f>
        <v>1.7112500000003195E-2</v>
      </c>
      <c r="D29" s="11">
        <f>E19</f>
        <v>1.7112500000003195E-2</v>
      </c>
      <c r="E29" s="11">
        <f>H19</f>
        <v>8.3645621181261465</v>
      </c>
    </row>
    <row r="30" spans="1:12" x14ac:dyDescent="0.25">
      <c r="A30" s="11" t="s">
        <v>50</v>
      </c>
      <c r="B30" s="11">
        <v>3</v>
      </c>
      <c r="C30" s="11">
        <f>B21</f>
        <v>6.1375000000012392E-3</v>
      </c>
      <c r="D30" s="11">
        <f>E21</f>
        <v>2.0458333333337464E-3</v>
      </c>
      <c r="E30" s="11"/>
    </row>
    <row r="31" spans="1:12" x14ac:dyDescent="0.25">
      <c r="A31" s="11" t="s">
        <v>18</v>
      </c>
      <c r="B31" s="11">
        <v>7</v>
      </c>
      <c r="C31" s="11">
        <f>B15</f>
        <v>0.27688750000001505</v>
      </c>
      <c r="D31" s="11"/>
      <c r="E31" s="11"/>
    </row>
  </sheetData>
  <mergeCells count="10">
    <mergeCell ref="A11:B11"/>
    <mergeCell ref="A12:B12"/>
    <mergeCell ref="A24:A25"/>
    <mergeCell ref="E24:E25"/>
    <mergeCell ref="A1:A2"/>
    <mergeCell ref="B1:B2"/>
    <mergeCell ref="C1:D1"/>
    <mergeCell ref="E1:E2"/>
    <mergeCell ref="A7:A10"/>
    <mergeCell ref="A3:A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Sandra</cp:lastModifiedBy>
  <dcterms:created xsi:type="dcterms:W3CDTF">2024-03-19T13:38:18Z</dcterms:created>
  <dcterms:modified xsi:type="dcterms:W3CDTF">2024-03-19T16:22:01Z</dcterms:modified>
</cp:coreProperties>
</file>